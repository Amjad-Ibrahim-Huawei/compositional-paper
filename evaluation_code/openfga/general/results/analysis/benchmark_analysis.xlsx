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benchmark-repo\paper-benchmark-commit-ccs\openfga\general\results\analysis\"/>
    </mc:Choice>
  </mc:AlternateContent>
  <xr:revisionPtr revIDLastSave="0" documentId="13_ncr:1_{4AD1434A-844F-4FC4-AAD0-2C9EF8BFE693}" xr6:coauthVersionLast="36" xr6:coauthVersionMax="36" xr10:uidLastSave="{00000000-0000-0000-0000-000000000000}"/>
  <bookViews>
    <workbookView xWindow="0" yWindow="0" windowWidth="22992" windowHeight="9828" xr2:uid="{00000000-000D-0000-FFFF-FFFF00000000}"/>
  </bookViews>
  <sheets>
    <sheet name="ratios-use" sheetId="4" r:id="rId1"/>
    <sheet name="aggregation" sheetId="3" r:id="rId2"/>
  </sheets>
  <calcPr calcId="191029"/>
</workbook>
</file>

<file path=xl/calcChain.xml><?xml version="1.0" encoding="utf-8"?>
<calcChain xmlns="http://schemas.openxmlformats.org/spreadsheetml/2006/main">
  <c r="R25" i="4" l="1"/>
  <c r="S21" i="4"/>
  <c r="S22" i="4"/>
  <c r="S23" i="4"/>
  <c r="S24" i="4"/>
  <c r="S25" i="4"/>
  <c r="S26" i="4"/>
  <c r="S27" i="4"/>
  <c r="S28" i="4"/>
  <c r="S29" i="4"/>
  <c r="S30" i="4"/>
  <c r="S31" i="4"/>
  <c r="S32" i="4"/>
  <c r="S20" i="4"/>
  <c r="R20" i="4"/>
  <c r="R21" i="4"/>
  <c r="R22" i="4"/>
  <c r="R23" i="4"/>
  <c r="R24" i="4"/>
  <c r="R26" i="4"/>
  <c r="R27" i="4"/>
  <c r="R28" i="4"/>
  <c r="R29" i="4"/>
  <c r="R30" i="4"/>
  <c r="R31" i="4"/>
  <c r="R32" i="4"/>
  <c r="H21" i="4" l="1"/>
  <c r="H22" i="4"/>
  <c r="H23" i="4"/>
  <c r="H24" i="4"/>
  <c r="H25" i="4"/>
  <c r="H26" i="4"/>
  <c r="H27" i="4"/>
  <c r="H28" i="4"/>
  <c r="H29" i="4"/>
  <c r="H30" i="4"/>
  <c r="H31" i="4"/>
  <c r="H32" i="4"/>
  <c r="H20" i="4"/>
  <c r="G21" i="4"/>
  <c r="G22" i="4"/>
  <c r="G23" i="4"/>
  <c r="G24" i="4"/>
  <c r="G25" i="4"/>
  <c r="G26" i="4"/>
  <c r="G27" i="4"/>
  <c r="G28" i="4"/>
  <c r="G29" i="4"/>
  <c r="G30" i="4"/>
  <c r="G31" i="4"/>
  <c r="G32" i="4"/>
  <c r="G20" i="4"/>
  <c r="F31" i="4"/>
  <c r="F32" i="4"/>
  <c r="F21" i="4"/>
  <c r="F22" i="4"/>
  <c r="F23" i="4"/>
  <c r="F24" i="4"/>
  <c r="F25" i="4"/>
  <c r="F26" i="4"/>
  <c r="F27" i="4"/>
  <c r="F28" i="4"/>
  <c r="F29" i="4"/>
  <c r="F30" i="4"/>
  <c r="F20" i="4"/>
  <c r="Q21" i="4"/>
  <c r="Q22" i="4"/>
  <c r="Q23" i="4"/>
  <c r="Q24" i="4"/>
  <c r="Q25" i="4"/>
  <c r="Q26" i="4"/>
  <c r="Q27" i="4"/>
  <c r="Q28" i="4"/>
  <c r="Q29" i="4"/>
  <c r="Q30" i="4"/>
  <c r="Q31" i="4"/>
  <c r="Q32" i="4"/>
  <c r="Q20" i="4"/>
  <c r="P21" i="4"/>
  <c r="P22" i="4"/>
  <c r="P23" i="4"/>
  <c r="P24" i="4"/>
  <c r="P25" i="4"/>
  <c r="P26" i="4"/>
  <c r="P27" i="4"/>
  <c r="P28" i="4"/>
  <c r="P29" i="4"/>
  <c r="P30" i="4"/>
  <c r="P31" i="4"/>
  <c r="P32" i="4"/>
  <c r="P20" i="4"/>
  <c r="O21" i="4"/>
  <c r="O22" i="4"/>
  <c r="O23" i="4"/>
  <c r="O24" i="4"/>
  <c r="O25" i="4"/>
  <c r="O26" i="4"/>
  <c r="O27" i="4"/>
  <c r="O28" i="4"/>
  <c r="O29" i="4"/>
  <c r="O30" i="4"/>
  <c r="O31" i="4"/>
  <c r="O32" i="4"/>
  <c r="O20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</calcChain>
</file>

<file path=xl/sharedStrings.xml><?xml version="1.0" encoding="utf-8"?>
<sst xmlns="http://schemas.openxmlformats.org/spreadsheetml/2006/main" count="95" uniqueCount="73">
  <si>
    <t>family</t>
  </si>
  <si>
    <t>case</t>
  </si>
  <si>
    <t>gdrive</t>
  </si>
  <si>
    <t>G1</t>
  </si>
  <si>
    <t>G2</t>
  </si>
  <si>
    <t>G3</t>
  </si>
  <si>
    <t>G4</t>
  </si>
  <si>
    <t>G5</t>
  </si>
  <si>
    <t>G6</t>
  </si>
  <si>
    <t>G7</t>
  </si>
  <si>
    <t>G8</t>
  </si>
  <si>
    <t>slack</t>
  </si>
  <si>
    <t>S1</t>
  </si>
  <si>
    <t>S2</t>
  </si>
  <si>
    <t>S3</t>
  </si>
  <si>
    <t>S4</t>
  </si>
  <si>
    <t>S5</t>
  </si>
  <si>
    <t>domain_op_avg_ms</t>
  </si>
  <si>
    <t>domain_op_median_ms</t>
  </si>
  <si>
    <t>domain_op_p95_ms</t>
  </si>
  <si>
    <t>overlay_op_avg_ms</t>
  </si>
  <si>
    <t>overlay_op_median_ms</t>
  </si>
  <si>
    <t>overlay_op_p95_ms</t>
  </si>
  <si>
    <t>overlay_vs_domain_op_avg_ratio</t>
  </si>
  <si>
    <t>overlay_vs_domain_op_median_ratio</t>
  </si>
  <si>
    <t>overlay_vs_domain_op_p95_ratio</t>
  </si>
  <si>
    <t>domain_check_avg_ms</t>
  </si>
  <si>
    <t>domain_check_median_ms</t>
  </si>
  <si>
    <t>domain_check_p95_ms</t>
  </si>
  <si>
    <t>overlay_check_avg_ms</t>
  </si>
  <si>
    <t>overlay_check_median_ms</t>
  </si>
  <si>
    <t>overlay_check_p95_ms</t>
  </si>
  <si>
    <t>overlay_vs_domain_check_avg_ratio</t>
  </si>
  <si>
    <t>overlay_vs_domain_check_median_ratio</t>
  </si>
  <si>
    <t>overlay_vs_domain_check_p95_ratio</t>
  </si>
  <si>
    <t>domain_allowed_ratio</t>
  </si>
  <si>
    <t>overlay_allowed_ratio</t>
  </si>
  <si>
    <t>overlay_vs_domain_allowed_ratio</t>
  </si>
  <si>
    <t>overlay_memory_vs_domain_ratio</t>
  </si>
  <si>
    <t>case_count</t>
  </si>
  <si>
    <t>mean_overlay_vs_domain_op_avg_ratio</t>
  </si>
  <si>
    <t>median_overlay_vs_domain_op_avg_ratio</t>
  </si>
  <si>
    <t>mean_overlay_vs_domain_op_median_ratio</t>
  </si>
  <si>
    <t>median_overlay_vs_domain_op_median_ratio</t>
  </si>
  <si>
    <t>mean_overlay_vs_domain_op_p95_ratio</t>
  </si>
  <si>
    <t>median_overlay_vs_domain_op_p95_ratio</t>
  </si>
  <si>
    <t>mean_overlay_vs_domain_check_avg_ratio</t>
  </si>
  <si>
    <t>median_overlay_vs_domain_check_avg_ratio</t>
  </si>
  <si>
    <t>mean_overlay_vs_domain_check_median_ratio</t>
  </si>
  <si>
    <t>median_overlay_vs_domain_check_median_ratio</t>
  </si>
  <si>
    <t>mean_overlay_vs_domain_check_p95_ratio</t>
  </si>
  <si>
    <t>median_overlay_vs_domain_check_p95_ratio</t>
  </si>
  <si>
    <t>mean_overlay_vs_domain_allowed_ratio</t>
  </si>
  <si>
    <t>median_overlay_vs_domain_allowed_ratio</t>
  </si>
  <si>
    <t>mean_overlay_write_vs_check_avg_ratio</t>
  </si>
  <si>
    <t>median_overlay_write_vs_check_avg_ratio</t>
  </si>
  <si>
    <t>mean_overlay_write_vs_check_median_ratio</t>
  </si>
  <si>
    <t>median_overlay_write_vs_check_median_ratio</t>
  </si>
  <si>
    <t>mean_overlay_write_vs_check_p95_ratio</t>
  </si>
  <si>
    <t>median_overlay_write_vs_check_p95_ratio</t>
  </si>
  <si>
    <t>mean_overlay_memory_vs_domain_ratio</t>
  </si>
  <si>
    <t>median_overlay_memory_vs_domain_ratio</t>
  </si>
  <si>
    <t xml:space="preserve">avg </t>
  </si>
  <si>
    <t xml:space="preserve">op to op </t>
  </si>
  <si>
    <t>ovhd (op to op)</t>
  </si>
  <si>
    <t>ovhd% (check to check)</t>
  </si>
  <si>
    <t>clearly report check to check</t>
  </si>
  <si>
    <t xml:space="preserve">ratio or ovhd </t>
  </si>
  <si>
    <t>avg or median</t>
  </si>
  <si>
    <t>avg</t>
  </si>
  <si>
    <t>median</t>
  </si>
  <si>
    <t>p95</t>
  </si>
  <si>
    <t>ratio re-calc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</si>
</sst>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4" borderId="1" xfId="3" applyBorder="1" applyAlignment="1">
      <alignment horizontal="center" vertical="top"/>
    </xf>
    <xf numFmtId="0" fontId="4" fillId="4" borderId="0" xfId="3"/>
    <xf numFmtId="0" fontId="5" fillId="5" borderId="2" xfId="4" applyAlignment="1">
      <alignment horizontal="center" vertical="top"/>
    </xf>
    <xf numFmtId="0" fontId="5" fillId="5" borderId="2" xfId="4"/>
    <xf numFmtId="0" fontId="2" fillId="2" borderId="1" xfId="1" applyBorder="1" applyAlignment="1">
      <alignment horizontal="center" vertical="top"/>
    </xf>
    <xf numFmtId="0" fontId="2" fillId="2" borderId="0" xfId="1"/>
    <xf numFmtId="0" fontId="3" fillId="3" borderId="0" xfId="2"/>
    <xf numFmtId="0" fontId="7" fillId="2" borderId="0" xfId="1" applyFont="1"/>
    <xf numFmtId="0" fontId="6" fillId="0" borderId="0" xfId="0" applyFont="1"/>
    <xf numFmtId="0" fontId="2" fillId="2" borderId="0" xfId="1" applyFont="1"/>
    <xf numFmtId="0" fontId="6" fillId="6" borderId="0" xfId="0" applyFont="1" applyFill="1"/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9CCB-34CE-4D99-8E28-91BA4C08DFB6}">
  <dimension ref="A1:X40"/>
  <sheetViews>
    <sheetView tabSelected="1" topLeftCell="K1" zoomScale="85" zoomScaleNormal="85" workbookViewId="0">
      <selection activeCell="R39" sqref="R39"/>
    </sheetView>
  </sheetViews>
  <sheetFormatPr defaultRowHeight="14.4" x14ac:dyDescent="0.3"/>
  <cols>
    <col min="1" max="1" width="6.21875" bestFit="1" customWidth="1"/>
    <col min="2" max="2" width="4.6640625" bestFit="1" customWidth="1"/>
    <col min="3" max="3" width="18.33203125" bestFit="1" customWidth="1"/>
    <col min="4" max="4" width="21.77734375" bestFit="1" customWidth="1"/>
    <col min="5" max="5" width="18.44140625" bestFit="1" customWidth="1"/>
    <col min="6" max="6" width="18.109375" bestFit="1" customWidth="1"/>
    <col min="7" max="7" width="21.5546875" bestFit="1" customWidth="1"/>
    <col min="8" max="8" width="18.21875" bestFit="1" customWidth="1"/>
    <col min="9" max="9" width="30.109375" bestFit="1" customWidth="1"/>
    <col min="10" max="10" width="33.44140625" bestFit="1" customWidth="1"/>
    <col min="11" max="11" width="30.21875" bestFit="1" customWidth="1"/>
    <col min="12" max="12" width="21" bestFit="1" customWidth="1"/>
    <col min="13" max="13" width="24.44140625" bestFit="1" customWidth="1"/>
    <col min="14" max="14" width="24.77734375" customWidth="1"/>
    <col min="15" max="15" width="20.77734375" bestFit="1" customWidth="1"/>
    <col min="16" max="16" width="24.21875" bestFit="1" customWidth="1"/>
    <col min="17" max="17" width="20.88671875" bestFit="1" customWidth="1"/>
    <col min="18" max="18" width="32.77734375" bestFit="1" customWidth="1"/>
    <col min="19" max="19" width="36.21875" bestFit="1" customWidth="1"/>
    <col min="20" max="20" width="32.88671875" bestFit="1" customWidth="1"/>
    <col min="21" max="21" width="25.77734375" customWidth="1"/>
    <col min="22" max="22" width="27.21875" customWidth="1"/>
    <col min="23" max="23" width="34.21875" customWidth="1"/>
    <col min="24" max="24" width="53.77734375" customWidth="1"/>
  </cols>
  <sheetData>
    <row r="1" spans="1:24" x14ac:dyDescent="0.3">
      <c r="A1" s="1" t="s">
        <v>0</v>
      </c>
      <c r="B1" s="1" t="s">
        <v>1</v>
      </c>
      <c r="C1" s="2" t="s">
        <v>17</v>
      </c>
      <c r="D1" s="2" t="s">
        <v>18</v>
      </c>
      <c r="E1" s="2" t="s">
        <v>19</v>
      </c>
      <c r="F1" s="4" t="s">
        <v>20</v>
      </c>
      <c r="G1" s="4" t="s">
        <v>21</v>
      </c>
      <c r="H1" s="4" t="s">
        <v>22</v>
      </c>
      <c r="I1" s="6" t="s">
        <v>23</v>
      </c>
      <c r="J1" s="6" t="s">
        <v>24</v>
      </c>
      <c r="K1" s="6" t="s">
        <v>25</v>
      </c>
      <c r="L1" s="2" t="s">
        <v>26</v>
      </c>
      <c r="M1" s="2" t="s">
        <v>27</v>
      </c>
      <c r="N1" s="2" t="s">
        <v>28</v>
      </c>
      <c r="O1" s="4" t="s">
        <v>29</v>
      </c>
      <c r="P1" s="4" t="s">
        <v>30</v>
      </c>
      <c r="Q1" s="4" t="s">
        <v>31</v>
      </c>
      <c r="R1" s="6" t="s">
        <v>32</v>
      </c>
      <c r="S1" s="6" t="s">
        <v>33</v>
      </c>
      <c r="T1" s="6" t="s">
        <v>34</v>
      </c>
      <c r="U1" s="1" t="s">
        <v>35</v>
      </c>
      <c r="V1" s="1" t="s">
        <v>36</v>
      </c>
      <c r="W1" s="1" t="s">
        <v>37</v>
      </c>
      <c r="X1" s="1" t="s">
        <v>38</v>
      </c>
    </row>
    <row r="2" spans="1:24" x14ac:dyDescent="0.3">
      <c r="A2" t="s">
        <v>2</v>
      </c>
      <c r="B2" t="s">
        <v>3</v>
      </c>
      <c r="C2" s="3">
        <v>2.1084990000000001</v>
      </c>
      <c r="D2" s="3">
        <v>1.9715</v>
      </c>
      <c r="E2" s="3">
        <v>3.2120000000000002</v>
      </c>
      <c r="F2" s="5">
        <v>2.7130368303571428</v>
      </c>
      <c r="G2" s="5">
        <v>2.3140000000000001</v>
      </c>
      <c r="H2" s="5">
        <v>5.3822500000000009</v>
      </c>
      <c r="I2" s="7">
        <v>1.286714781632404</v>
      </c>
      <c r="J2" s="7">
        <v>1.1737255896525489</v>
      </c>
      <c r="K2" s="7">
        <v>1.675669364881694</v>
      </c>
      <c r="L2" s="3">
        <v>2.1084990000000001</v>
      </c>
      <c r="M2" s="3">
        <v>1.9715</v>
      </c>
      <c r="N2" s="3">
        <v>3.2120000000000002</v>
      </c>
      <c r="O2" s="5">
        <v>2.329636477987421</v>
      </c>
      <c r="P2" s="5">
        <v>2.1779999999999999</v>
      </c>
      <c r="Q2" s="5">
        <v>3.4212999999999991</v>
      </c>
      <c r="R2" s="11">
        <v>1.1048791002449709</v>
      </c>
      <c r="S2" s="7">
        <v>1.104742581790515</v>
      </c>
      <c r="T2" s="7">
        <v>1.0651618929016189</v>
      </c>
      <c r="U2">
        <v>0.52900000000000003</v>
      </c>
      <c r="V2">
        <v>0.34465408805031439</v>
      </c>
      <c r="W2">
        <v>0.65152001521798564</v>
      </c>
      <c r="X2">
        <v>0.99406294384935612</v>
      </c>
    </row>
    <row r="3" spans="1:24" x14ac:dyDescent="0.3">
      <c r="A3" t="s">
        <v>2</v>
      </c>
      <c r="B3" t="s">
        <v>4</v>
      </c>
      <c r="C3" s="3">
        <v>2.1687789999999998</v>
      </c>
      <c r="D3" s="3">
        <v>2.0459999999999998</v>
      </c>
      <c r="E3" s="3">
        <v>3.3000500000000001</v>
      </c>
      <c r="F3" s="5">
        <v>2.9591872981700749</v>
      </c>
      <c r="G3" s="5">
        <v>2.633</v>
      </c>
      <c r="H3" s="5">
        <v>5.3829999999999991</v>
      </c>
      <c r="I3" s="7">
        <v>1.3644485206515169</v>
      </c>
      <c r="J3" s="7">
        <v>1.286901270772238</v>
      </c>
      <c r="K3" s="7">
        <v>1.63118740625142</v>
      </c>
      <c r="L3" s="3">
        <v>2.1687789999999998</v>
      </c>
      <c r="M3" s="3">
        <v>2.0459999999999998</v>
      </c>
      <c r="N3" s="3">
        <v>3.3000500000000001</v>
      </c>
      <c r="O3" s="5">
        <v>2.6007549999999999</v>
      </c>
      <c r="P3" s="5">
        <v>2.4885000000000002</v>
      </c>
      <c r="Q3" s="5">
        <v>3.982899999999999</v>
      </c>
      <c r="R3" s="11">
        <v>1.199179353912962</v>
      </c>
      <c r="S3" s="7">
        <v>1.216275659824047</v>
      </c>
      <c r="T3" s="7">
        <v>1.2069211072559509</v>
      </c>
      <c r="U3">
        <v>0.41199999999999998</v>
      </c>
      <c r="V3">
        <v>0.40875</v>
      </c>
      <c r="W3">
        <v>0.99211165048543692</v>
      </c>
      <c r="X3">
        <v>0.99972405964924183</v>
      </c>
    </row>
    <row r="4" spans="1:24" x14ac:dyDescent="0.3">
      <c r="A4" t="s">
        <v>2</v>
      </c>
      <c r="B4" t="s">
        <v>5</v>
      </c>
      <c r="C4" s="3">
        <v>2.4961790000000001</v>
      </c>
      <c r="D4" s="3">
        <v>2.4079999999999999</v>
      </c>
      <c r="E4" s="3">
        <v>3.6039999999999992</v>
      </c>
      <c r="F4" s="5">
        <v>3.4340317622950818</v>
      </c>
      <c r="G4" s="5">
        <v>2.9</v>
      </c>
      <c r="H4" s="5">
        <v>6.1462499999999993</v>
      </c>
      <c r="I4" s="7">
        <v>1.375715348256308</v>
      </c>
      <c r="J4" s="7">
        <v>1.2043189368770759</v>
      </c>
      <c r="K4" s="7">
        <v>1.7053967813540509</v>
      </c>
      <c r="L4" s="3">
        <v>2.4961790000000001</v>
      </c>
      <c r="M4" s="3">
        <v>2.4079999999999999</v>
      </c>
      <c r="N4" s="3">
        <v>3.6039999999999992</v>
      </c>
      <c r="O4" s="5">
        <v>2.8725379825653801</v>
      </c>
      <c r="P4" s="5">
        <v>2.718</v>
      </c>
      <c r="Q4" s="5">
        <v>4.3299999999999992</v>
      </c>
      <c r="R4" s="11">
        <v>1.15077403606287</v>
      </c>
      <c r="S4" s="7">
        <v>1.128737541528239</v>
      </c>
      <c r="T4" s="7">
        <v>1.201442841287458</v>
      </c>
      <c r="U4">
        <v>0.50700000000000001</v>
      </c>
      <c r="V4">
        <v>0.32752179327521791</v>
      </c>
      <c r="W4">
        <v>0.64599959225881243</v>
      </c>
      <c r="X4">
        <v>1.0100008164429159</v>
      </c>
    </row>
    <row r="5" spans="1:24" x14ac:dyDescent="0.3">
      <c r="A5" t="s">
        <v>2</v>
      </c>
      <c r="B5" t="s">
        <v>6</v>
      </c>
      <c r="C5" s="3">
        <v>2.7689689999999998</v>
      </c>
      <c r="D5" s="3">
        <v>2.6924999999999999</v>
      </c>
      <c r="E5" s="3">
        <v>3.8893499999999999</v>
      </c>
      <c r="F5" s="5">
        <v>4.0511304347826087</v>
      </c>
      <c r="G5" s="5">
        <v>3.2090000000000001</v>
      </c>
      <c r="H5" s="5">
        <v>9.4673999999999978</v>
      </c>
      <c r="I5" s="7">
        <v>1.4630465110958659</v>
      </c>
      <c r="J5" s="7">
        <v>1.191829155060353</v>
      </c>
      <c r="K5" s="7">
        <v>2.4341856608430712</v>
      </c>
      <c r="L5" s="3">
        <v>2.7689689999999998</v>
      </c>
      <c r="M5" s="3">
        <v>2.6924999999999999</v>
      </c>
      <c r="N5" s="3">
        <v>3.8893499999999999</v>
      </c>
      <c r="O5" s="5">
        <v>3.3787412499999991</v>
      </c>
      <c r="P5" s="5">
        <v>2.9914999999999998</v>
      </c>
      <c r="Q5" s="5">
        <v>4.9027499999999966</v>
      </c>
      <c r="R5" s="11">
        <v>1.220216351284539</v>
      </c>
      <c r="S5" s="7">
        <v>1.1110492107706591</v>
      </c>
      <c r="T5" s="7">
        <v>1.260557676732615</v>
      </c>
      <c r="U5">
        <v>0.39</v>
      </c>
      <c r="V5">
        <v>0.34625</v>
      </c>
      <c r="W5">
        <v>0.88782051282051277</v>
      </c>
      <c r="X5">
        <v>1.01924925798987</v>
      </c>
    </row>
    <row r="6" spans="1:24" x14ac:dyDescent="0.3">
      <c r="A6" t="s">
        <v>2</v>
      </c>
      <c r="B6" t="s">
        <v>7</v>
      </c>
      <c r="C6" s="3">
        <v>3.0280640000000001</v>
      </c>
      <c r="D6" s="3">
        <v>2.9780000000000002</v>
      </c>
      <c r="E6" s="3">
        <v>4.0540500000000002</v>
      </c>
      <c r="F6" s="5">
        <v>5.6611404212637906</v>
      </c>
      <c r="G6" s="5">
        <v>3.694</v>
      </c>
      <c r="H6" s="5">
        <v>15.15159999999999</v>
      </c>
      <c r="I6" s="7">
        <v>1.869557717823596</v>
      </c>
      <c r="J6" s="7">
        <v>1.240429818670248</v>
      </c>
      <c r="K6" s="7">
        <v>3.7373984040650678</v>
      </c>
      <c r="L6" s="3">
        <v>3.0280640000000001</v>
      </c>
      <c r="M6" s="3">
        <v>2.9780000000000002</v>
      </c>
      <c r="N6" s="3">
        <v>4.0540500000000002</v>
      </c>
      <c r="O6" s="5">
        <v>4.6913035935563814</v>
      </c>
      <c r="P6" s="5">
        <v>3.46</v>
      </c>
      <c r="Q6" s="5">
        <v>9.2537999999999947</v>
      </c>
      <c r="R6" s="11">
        <v>1.549274914122152</v>
      </c>
      <c r="S6" s="7">
        <v>1.161853593015447</v>
      </c>
      <c r="T6" s="7">
        <v>2.282606282606281</v>
      </c>
      <c r="U6">
        <v>0.37</v>
      </c>
      <c r="V6">
        <v>0.26517967781908303</v>
      </c>
      <c r="W6">
        <v>0.71670183194346759</v>
      </c>
      <c r="X6">
        <v>1.015931006350574</v>
      </c>
    </row>
    <row r="7" spans="1:24" x14ac:dyDescent="0.3">
      <c r="A7" t="s">
        <v>2</v>
      </c>
      <c r="B7" t="s">
        <v>8</v>
      </c>
      <c r="C7" s="3">
        <v>3.4894229999999999</v>
      </c>
      <c r="D7" s="3">
        <v>3.4445000000000001</v>
      </c>
      <c r="E7" s="3">
        <v>4.7895999999999992</v>
      </c>
      <c r="F7" s="5">
        <v>7.9634194194194192</v>
      </c>
      <c r="G7" s="5">
        <v>4.0590000000000002</v>
      </c>
      <c r="H7" s="5">
        <v>17.959099999999982</v>
      </c>
      <c r="I7" s="7">
        <v>2.2821593768996822</v>
      </c>
      <c r="J7" s="7">
        <v>1.178400348381478</v>
      </c>
      <c r="K7" s="7">
        <v>3.749603307165521</v>
      </c>
      <c r="L7" s="3">
        <v>3.4894229999999999</v>
      </c>
      <c r="M7" s="3">
        <v>3.09</v>
      </c>
      <c r="N7" s="3">
        <v>4.7895999999999992</v>
      </c>
      <c r="O7" s="5">
        <v>7.2915394242804004</v>
      </c>
      <c r="P7" s="5">
        <v>3.92</v>
      </c>
      <c r="Q7" s="5">
        <v>24.255799999999919</v>
      </c>
      <c r="R7" s="9">
        <v>2.0896117850000002</v>
      </c>
      <c r="S7" s="9">
        <v>1.268608414</v>
      </c>
      <c r="T7" s="7">
        <v>5.0642642391848849</v>
      </c>
      <c r="U7">
        <v>0.36299999999999999</v>
      </c>
      <c r="V7">
        <v>0.42302878598247812</v>
      </c>
      <c r="W7">
        <v>1.16536855642556</v>
      </c>
      <c r="X7">
        <v>1.156912061420539</v>
      </c>
    </row>
    <row r="8" spans="1:24" x14ac:dyDescent="0.3">
      <c r="A8" t="s">
        <v>2</v>
      </c>
      <c r="B8" t="s">
        <v>9</v>
      </c>
      <c r="C8" s="3">
        <v>3.9646140000000001</v>
      </c>
      <c r="D8" s="3">
        <v>3.8334999999999999</v>
      </c>
      <c r="E8" s="3">
        <v>5.5692499999999994</v>
      </c>
      <c r="F8" s="5">
        <v>8.4107321965897697</v>
      </c>
      <c r="G8" s="5">
        <v>4.1680000000000001</v>
      </c>
      <c r="H8" s="5">
        <v>26.409999999999979</v>
      </c>
      <c r="I8" s="7">
        <v>2.1214504606475608</v>
      </c>
      <c r="J8" s="7">
        <v>1.0872570757793141</v>
      </c>
      <c r="K8" s="7">
        <v>4.742110697131567</v>
      </c>
      <c r="L8" s="3">
        <v>3.9646140000000001</v>
      </c>
      <c r="M8" s="3">
        <v>3.55</v>
      </c>
      <c r="N8" s="3">
        <v>5.5692499999999994</v>
      </c>
      <c r="O8" s="5">
        <v>8.5757106274007704</v>
      </c>
      <c r="P8" s="5">
        <v>4.7</v>
      </c>
      <c r="Q8" s="5">
        <v>37.683</v>
      </c>
      <c r="R8" s="9">
        <v>2.1630631954083732</v>
      </c>
      <c r="S8" s="9">
        <v>1.3239399999999999</v>
      </c>
      <c r="T8" s="7">
        <v>6.7662611662252559</v>
      </c>
      <c r="U8">
        <v>0.19500000000000001</v>
      </c>
      <c r="V8">
        <v>0.16389244558258639</v>
      </c>
      <c r="W8">
        <v>0.84047407991069956</v>
      </c>
      <c r="X8">
        <v>1.065577654058028</v>
      </c>
    </row>
    <row r="9" spans="1:24" x14ac:dyDescent="0.3">
      <c r="A9" t="s">
        <v>2</v>
      </c>
      <c r="B9" t="s">
        <v>10</v>
      </c>
      <c r="C9" s="3">
        <v>6.586957</v>
      </c>
      <c r="D9" s="3">
        <v>6.1769999999999996</v>
      </c>
      <c r="E9" s="3">
        <v>9.1805499999999984</v>
      </c>
      <c r="F9" s="5">
        <v>12.673902</v>
      </c>
      <c r="G9" s="5">
        <v>7.6669999999999998</v>
      </c>
      <c r="H9" s="5">
        <v>33.442449999999987</v>
      </c>
      <c r="I9" s="7">
        <v>1.92409059297032</v>
      </c>
      <c r="J9" s="7">
        <v>1.241217419459284</v>
      </c>
      <c r="K9" s="7">
        <v>3.6427501620273288</v>
      </c>
      <c r="L9" s="3">
        <v>6.1169570000000002</v>
      </c>
      <c r="M9" s="3">
        <v>5.29</v>
      </c>
      <c r="N9" s="3">
        <v>9.1805499999999984</v>
      </c>
      <c r="O9" s="5">
        <v>13.37202763157895</v>
      </c>
      <c r="P9" s="5">
        <v>6.83</v>
      </c>
      <c r="Q9" s="5">
        <v>38.034249999999972</v>
      </c>
      <c r="R9" s="9">
        <v>2.1800766547555899</v>
      </c>
      <c r="S9" s="9">
        <v>1.29551562247045</v>
      </c>
      <c r="T9" s="7">
        <v>4.142916274079437</v>
      </c>
      <c r="U9">
        <v>0.374</v>
      </c>
      <c r="V9">
        <v>4.6052631578947373E-2</v>
      </c>
      <c r="W9">
        <v>0.1231353785533352</v>
      </c>
      <c r="X9">
        <v>1.389537569724409</v>
      </c>
    </row>
    <row r="10" spans="1:24" x14ac:dyDescent="0.3">
      <c r="A10" t="s">
        <v>11</v>
      </c>
      <c r="B10" t="s">
        <v>12</v>
      </c>
      <c r="C10" s="3">
        <v>2.1337540000000002</v>
      </c>
      <c r="D10" s="3">
        <v>2.0074999999999998</v>
      </c>
      <c r="E10" s="3">
        <v>3.0723500000000001</v>
      </c>
      <c r="F10" s="5">
        <v>2.494037878787879</v>
      </c>
      <c r="G10" s="5">
        <v>2.0935000000000001</v>
      </c>
      <c r="H10" s="5">
        <v>4.7308499999999993</v>
      </c>
      <c r="I10" s="7">
        <v>1.1688497731171821</v>
      </c>
      <c r="J10" s="7">
        <v>1.042839352428393</v>
      </c>
      <c r="K10" s="7">
        <v>1.5398147997461229</v>
      </c>
      <c r="L10" s="3">
        <v>2.1337540000000002</v>
      </c>
      <c r="M10" s="3">
        <v>2.0074999999999998</v>
      </c>
      <c r="N10" s="3">
        <v>3.0723500000000001</v>
      </c>
      <c r="O10" s="5">
        <v>2.153941903584673</v>
      </c>
      <c r="P10" s="5">
        <v>2.0169999999999999</v>
      </c>
      <c r="Q10" s="5">
        <v>3.1816</v>
      </c>
      <c r="R10" s="7">
        <v>1.009461214172146</v>
      </c>
      <c r="S10" s="7">
        <v>1.004732254047322</v>
      </c>
      <c r="T10" s="7">
        <v>1.035559099711947</v>
      </c>
      <c r="U10">
        <v>0.50900000000000001</v>
      </c>
      <c r="V10">
        <v>0.37948084054388131</v>
      </c>
      <c r="W10">
        <v>0.74554192641234052</v>
      </c>
      <c r="X10">
        <v>1.0011155287320159</v>
      </c>
    </row>
    <row r="11" spans="1:24" x14ac:dyDescent="0.3">
      <c r="A11" t="s">
        <v>11</v>
      </c>
      <c r="B11" t="s">
        <v>13</v>
      </c>
      <c r="C11" s="3">
        <v>2.408573000000001</v>
      </c>
      <c r="D11" s="3">
        <v>2.3264999999999998</v>
      </c>
      <c r="E11" s="3">
        <v>3.2110500000000002</v>
      </c>
      <c r="F11" s="5">
        <v>2.9283538461538461</v>
      </c>
      <c r="G11" s="5">
        <v>2.5750000000000002</v>
      </c>
      <c r="H11" s="5">
        <v>5.1183000000000014</v>
      </c>
      <c r="I11" s="7">
        <v>1.2158044809743549</v>
      </c>
      <c r="J11" s="7">
        <v>1.106812808940469</v>
      </c>
      <c r="K11" s="7">
        <v>1.5939645910216289</v>
      </c>
      <c r="L11" s="3">
        <v>2.408573000000001</v>
      </c>
      <c r="M11" s="3">
        <v>2.3264999999999998</v>
      </c>
      <c r="N11" s="3">
        <v>3.2110500000000002</v>
      </c>
      <c r="O11" s="5">
        <v>2.534905236907731</v>
      </c>
      <c r="P11" s="5">
        <v>2.4344999999999999</v>
      </c>
      <c r="Q11" s="5">
        <v>3.5855000000000001</v>
      </c>
      <c r="R11" s="7">
        <v>1.0524510724431979</v>
      </c>
      <c r="S11" s="7">
        <v>1.04642166344294</v>
      </c>
      <c r="T11" s="7">
        <v>1.116612945921116</v>
      </c>
      <c r="U11">
        <v>0.49099999999999999</v>
      </c>
      <c r="V11">
        <v>0.37655860349127179</v>
      </c>
      <c r="W11">
        <v>0.76692179937122562</v>
      </c>
      <c r="X11">
        <v>1.000029464428899</v>
      </c>
    </row>
    <row r="12" spans="1:24" x14ac:dyDescent="0.3">
      <c r="A12" t="s">
        <v>11</v>
      </c>
      <c r="B12" t="s">
        <v>14</v>
      </c>
      <c r="C12" s="3">
        <v>3.2502339999999998</v>
      </c>
      <c r="D12" s="3">
        <v>3.1715</v>
      </c>
      <c r="E12" s="3">
        <v>4.2750500000000002</v>
      </c>
      <c r="F12" s="5">
        <v>6.3531991991991994</v>
      </c>
      <c r="G12" s="5">
        <v>4.657</v>
      </c>
      <c r="H12" s="5">
        <v>16.1951</v>
      </c>
      <c r="I12" s="7">
        <v>1.954689785165991</v>
      </c>
      <c r="J12" s="7">
        <v>1.468390351568658</v>
      </c>
      <c r="K12" s="7">
        <v>3.788283177974527</v>
      </c>
      <c r="L12" s="3">
        <v>3.2502339999999998</v>
      </c>
      <c r="M12" s="3">
        <v>2.8008999999999999</v>
      </c>
      <c r="N12" s="3">
        <v>4.2750500000000002</v>
      </c>
      <c r="O12" s="5">
        <v>5.8387518796992488</v>
      </c>
      <c r="P12" s="5">
        <v>3.2905000000000002</v>
      </c>
      <c r="Q12" s="5">
        <v>16.26445</v>
      </c>
      <c r="R12" s="7">
        <v>1.796409698409176</v>
      </c>
      <c r="S12" s="9">
        <v>1.16982989121867</v>
      </c>
      <c r="T12" s="7">
        <v>3.8045052104653738</v>
      </c>
      <c r="U12">
        <v>0.496</v>
      </c>
      <c r="V12">
        <v>0.48872180451127822</v>
      </c>
      <c r="W12">
        <v>0.98532621877273829</v>
      </c>
      <c r="X12">
        <v>0.99899255093247596</v>
      </c>
    </row>
    <row r="13" spans="1:24" x14ac:dyDescent="0.3">
      <c r="A13" t="s">
        <v>11</v>
      </c>
      <c r="B13" t="s">
        <v>15</v>
      </c>
      <c r="C13" s="3">
        <v>3.3003140000000002</v>
      </c>
      <c r="D13" s="3">
        <v>3.234</v>
      </c>
      <c r="E13" s="3">
        <v>4.3391999999999999</v>
      </c>
      <c r="F13" s="5">
        <v>6.7288079999999999</v>
      </c>
      <c r="G13" s="5">
        <v>4.2484999999999999</v>
      </c>
      <c r="H13" s="5">
        <v>20.944799999999979</v>
      </c>
      <c r="I13" s="7">
        <v>2.0388387286785439</v>
      </c>
      <c r="J13" s="7">
        <v>1.3136982065553491</v>
      </c>
      <c r="K13" s="7">
        <v>4.8268805309734466</v>
      </c>
      <c r="L13" s="3">
        <v>3.3003140000000002</v>
      </c>
      <c r="M13" s="3">
        <v>3.0939999999999999</v>
      </c>
      <c r="N13" s="3">
        <v>4.3391999999999999</v>
      </c>
      <c r="O13" s="5">
        <v>6.930846724351051</v>
      </c>
      <c r="P13" s="5">
        <v>3.7280000000000002</v>
      </c>
      <c r="Q13" s="5">
        <v>21.619800000000001</v>
      </c>
      <c r="R13" s="7">
        <v>2.1000567595541062</v>
      </c>
      <c r="S13" s="9">
        <v>1.21163265306122</v>
      </c>
      <c r="T13" s="7">
        <v>4.982439159292035</v>
      </c>
      <c r="U13">
        <v>0.501</v>
      </c>
      <c r="V13">
        <v>0.56736711990111244</v>
      </c>
      <c r="W13">
        <v>1.132469301199825</v>
      </c>
      <c r="X13">
        <v>0.95152785914711291</v>
      </c>
    </row>
    <row r="14" spans="1:24" x14ac:dyDescent="0.3">
      <c r="A14" t="s">
        <v>11</v>
      </c>
      <c r="B14" t="s">
        <v>16</v>
      </c>
      <c r="C14" s="3">
        <v>4.4021210000000002</v>
      </c>
      <c r="D14" s="3">
        <v>4.3029999999999999</v>
      </c>
      <c r="E14" s="3">
        <v>5.7359999999999998</v>
      </c>
      <c r="F14" s="5">
        <v>7.163733733733733</v>
      </c>
      <c r="G14" s="5">
        <v>4.6109999999999998</v>
      </c>
      <c r="H14" s="5">
        <v>26.437200000000001</v>
      </c>
      <c r="I14" s="7">
        <v>1.627336852788402</v>
      </c>
      <c r="J14" s="7">
        <v>1.071577968858936</v>
      </c>
      <c r="K14" s="7">
        <v>4.608995815899581</v>
      </c>
      <c r="L14" s="3">
        <v>3.5702121</v>
      </c>
      <c r="M14" s="3">
        <v>3.6829999999999998</v>
      </c>
      <c r="N14" s="3">
        <v>5.7359999999999998</v>
      </c>
      <c r="O14" s="5">
        <v>7.7080538057742798</v>
      </c>
      <c r="P14" s="5">
        <v>4.4740000000000002</v>
      </c>
      <c r="Q14" s="5">
        <v>30.399599999999971</v>
      </c>
      <c r="R14" s="9">
        <v>2.1609863553896602</v>
      </c>
      <c r="S14" s="9">
        <v>1.2202091564025099</v>
      </c>
      <c r="T14" s="7">
        <v>5.2997907949790743</v>
      </c>
      <c r="U14">
        <v>0.498</v>
      </c>
      <c r="V14">
        <v>0.40288713910761148</v>
      </c>
      <c r="W14">
        <v>0.80901031949319591</v>
      </c>
      <c r="X14">
        <v>0.97617674150194622</v>
      </c>
    </row>
    <row r="16" spans="1:24" x14ac:dyDescent="0.3">
      <c r="B16" t="s">
        <v>62</v>
      </c>
      <c r="C16">
        <f>AVERAGE(C2:C14)</f>
        <v>3.2389600000000005</v>
      </c>
      <c r="D16">
        <f t="shared" ref="D16:X16" si="0">AVERAGE(D2:D14)</f>
        <v>3.1225769230769229</v>
      </c>
      <c r="E16">
        <f t="shared" si="0"/>
        <v>4.4794230769230765</v>
      </c>
      <c r="F16">
        <f t="shared" si="0"/>
        <v>5.6565163862117345</v>
      </c>
      <c r="G16">
        <f t="shared" si="0"/>
        <v>3.7560769230769226</v>
      </c>
      <c r="H16">
        <f t="shared" si="0"/>
        <v>14.828330769230764</v>
      </c>
      <c r="I16">
        <f t="shared" si="0"/>
        <v>1.6686694562078255</v>
      </c>
      <c r="J16">
        <f t="shared" si="0"/>
        <v>1.2005691002311036</v>
      </c>
      <c r="K16">
        <f t="shared" si="0"/>
        <v>3.0520185153334634</v>
      </c>
      <c r="L16">
        <f t="shared" si="0"/>
        <v>3.138813161538462</v>
      </c>
      <c r="M16">
        <f t="shared" si="0"/>
        <v>2.9182999999999995</v>
      </c>
      <c r="N16">
        <f t="shared" si="0"/>
        <v>4.4794230769230765</v>
      </c>
      <c r="O16">
        <f t="shared" si="0"/>
        <v>5.4060578105912533</v>
      </c>
      <c r="P16">
        <f t="shared" si="0"/>
        <v>3.4792307692307696</v>
      </c>
      <c r="Q16">
        <f t="shared" si="0"/>
        <v>15.454980769230756</v>
      </c>
      <c r="R16">
        <f t="shared" si="0"/>
        <v>1.5981877300584417</v>
      </c>
      <c r="S16">
        <f t="shared" si="0"/>
        <v>1.1741190955055401</v>
      </c>
      <c r="T16">
        <f t="shared" si="0"/>
        <v>3.0176183608186955</v>
      </c>
      <c r="U16">
        <f t="shared" si="0"/>
        <v>0.43346153846153845</v>
      </c>
      <c r="V16">
        <f t="shared" si="0"/>
        <v>0.34925730229567553</v>
      </c>
      <c r="W16">
        <f t="shared" si="0"/>
        <v>0.8048000909896259</v>
      </c>
      <c r="X16">
        <f t="shared" si="0"/>
        <v>1.0445259626328758</v>
      </c>
    </row>
    <row r="18" spans="3:19" x14ac:dyDescent="0.3">
      <c r="C18" t="s">
        <v>63</v>
      </c>
      <c r="D18" t="s">
        <v>63</v>
      </c>
      <c r="E18" t="s">
        <v>63</v>
      </c>
      <c r="F18" t="s">
        <v>63</v>
      </c>
      <c r="G18" t="s">
        <v>63</v>
      </c>
      <c r="H18" t="s">
        <v>63</v>
      </c>
      <c r="I18" t="s">
        <v>63</v>
      </c>
      <c r="J18" t="s">
        <v>63</v>
      </c>
      <c r="K18" t="s">
        <v>63</v>
      </c>
    </row>
    <row r="19" spans="3:19" x14ac:dyDescent="0.3">
      <c r="O19" t="s">
        <v>69</v>
      </c>
      <c r="P19" t="s">
        <v>70</v>
      </c>
      <c r="Q19" t="s">
        <v>71</v>
      </c>
      <c r="R19" t="s">
        <v>72</v>
      </c>
    </row>
    <row r="20" spans="3:19" x14ac:dyDescent="0.3">
      <c r="E20" t="s">
        <v>64</v>
      </c>
      <c r="F20">
        <f>((F2-C2)/C2)*100</f>
        <v>28.671478163240423</v>
      </c>
      <c r="G20">
        <f>((G2-D2)/D2)*100</f>
        <v>17.372558965254882</v>
      </c>
      <c r="H20">
        <f>((H2-E2)/E2)*100</f>
        <v>67.566936488169375</v>
      </c>
      <c r="N20" t="s">
        <v>65</v>
      </c>
      <c r="O20" s="10">
        <f>((O2-L2)/L2)*100</f>
        <v>10.48791002449709</v>
      </c>
      <c r="P20">
        <f>((P2-M2)/M2)*100</f>
        <v>10.47425817905148</v>
      </c>
      <c r="Q20">
        <f>((Q2-N2)/N2)*100</f>
        <v>6.5161892901618597</v>
      </c>
      <c r="R20" s="10">
        <f>O2/L2</f>
        <v>1.1048791002449709</v>
      </c>
      <c r="S20" s="10">
        <f>P2/M2</f>
        <v>1.1047425817905148</v>
      </c>
    </row>
    <row r="21" spans="3:19" x14ac:dyDescent="0.3">
      <c r="F21">
        <f t="shared" ref="F21:F32" si="1">((F3-C3)/C3)*100</f>
        <v>36.444852065151643</v>
      </c>
      <c r="G21">
        <f t="shared" ref="G21:G32" si="2">((G3-D3)/D3)*100</f>
        <v>28.690127077223863</v>
      </c>
      <c r="H21">
        <f t="shared" ref="H21:H32" si="3">((H3-E3)/E3)*100</f>
        <v>63.11874062514201</v>
      </c>
      <c r="O21" s="10">
        <f t="shared" ref="O21:O32" si="4">((O3-L3)/L3)*100</f>
        <v>19.917935391296218</v>
      </c>
      <c r="P21">
        <f t="shared" ref="P21:P32" si="5">((P3-M3)/M3)*100</f>
        <v>21.627565982404711</v>
      </c>
      <c r="Q21">
        <f t="shared" ref="Q21:Q32" si="6">((Q3-N3)/N3)*100</f>
        <v>20.692110725595033</v>
      </c>
      <c r="R21" s="10">
        <f t="shared" ref="R21:R32" si="7">O3/L3</f>
        <v>1.1991793539129623</v>
      </c>
      <c r="S21" s="10">
        <f t="shared" ref="S21:S32" si="8">P3/M3</f>
        <v>1.2162756598240472</v>
      </c>
    </row>
    <row r="22" spans="3:19" x14ac:dyDescent="0.3">
      <c r="F22">
        <f t="shared" si="1"/>
        <v>37.571534825630756</v>
      </c>
      <c r="G22">
        <f t="shared" si="2"/>
        <v>20.431893687707642</v>
      </c>
      <c r="H22">
        <f t="shared" si="3"/>
        <v>70.539678135405126</v>
      </c>
      <c r="O22" s="10">
        <f t="shared" si="4"/>
        <v>15.077403606287046</v>
      </c>
      <c r="P22">
        <f t="shared" si="5"/>
        <v>12.873754152823924</v>
      </c>
      <c r="Q22">
        <f t="shared" si="6"/>
        <v>20.144284128745841</v>
      </c>
      <c r="R22" s="10">
        <f t="shared" si="7"/>
        <v>1.1507740360628704</v>
      </c>
      <c r="S22" s="10">
        <f t="shared" si="8"/>
        <v>1.1287375415282392</v>
      </c>
    </row>
    <row r="23" spans="3:19" x14ac:dyDescent="0.3">
      <c r="F23">
        <f t="shared" si="1"/>
        <v>46.304651109586601</v>
      </c>
      <c r="G23">
        <f t="shared" si="2"/>
        <v>19.182915506035293</v>
      </c>
      <c r="H23">
        <f t="shared" si="3"/>
        <v>143.41856608430709</v>
      </c>
      <c r="O23" s="10">
        <f t="shared" si="4"/>
        <v>22.021635128453926</v>
      </c>
      <c r="P23">
        <f t="shared" si="5"/>
        <v>11.104921077065921</v>
      </c>
      <c r="Q23">
        <f t="shared" si="6"/>
        <v>26.055767673261514</v>
      </c>
      <c r="R23" s="10">
        <f t="shared" si="7"/>
        <v>1.2202163512845392</v>
      </c>
      <c r="S23" s="10">
        <f t="shared" si="8"/>
        <v>1.1110492107706593</v>
      </c>
    </row>
    <row r="24" spans="3:19" x14ac:dyDescent="0.3">
      <c r="F24">
        <f t="shared" si="1"/>
        <v>86.955771782359633</v>
      </c>
      <c r="G24">
        <f t="shared" si="2"/>
        <v>24.042981867024839</v>
      </c>
      <c r="H24">
        <f t="shared" si="3"/>
        <v>273.7398404065068</v>
      </c>
      <c r="O24" s="10">
        <f t="shared" si="4"/>
        <v>54.927491412215232</v>
      </c>
      <c r="P24">
        <f t="shared" si="5"/>
        <v>16.185359301544651</v>
      </c>
      <c r="Q24">
        <f t="shared" si="6"/>
        <v>128.26062826062812</v>
      </c>
      <c r="R24" s="10">
        <f t="shared" si="7"/>
        <v>1.5492749141221525</v>
      </c>
      <c r="S24" s="10">
        <f t="shared" si="8"/>
        <v>1.1618535930154466</v>
      </c>
    </row>
    <row r="25" spans="3:19" x14ac:dyDescent="0.3">
      <c r="F25">
        <f t="shared" si="1"/>
        <v>128.21593768996823</v>
      </c>
      <c r="G25">
        <f t="shared" si="2"/>
        <v>17.840034838147773</v>
      </c>
      <c r="H25">
        <f t="shared" si="3"/>
        <v>274.96033071655222</v>
      </c>
      <c r="O25" s="10">
        <f t="shared" si="4"/>
        <v>108.96117851806446</v>
      </c>
      <c r="P25">
        <f t="shared" si="5"/>
        <v>26.860841423948223</v>
      </c>
      <c r="Q25" s="8">
        <f t="shared" si="6"/>
        <v>406.42642391848841</v>
      </c>
      <c r="R25" s="12">
        <f>O7/L7</f>
        <v>2.0896117851806446</v>
      </c>
      <c r="S25" s="12">
        <f t="shared" si="8"/>
        <v>1.2686084142394822</v>
      </c>
    </row>
    <row r="26" spans="3:19" x14ac:dyDescent="0.3">
      <c r="F26">
        <f t="shared" si="1"/>
        <v>112.1450460647561</v>
      </c>
      <c r="G26">
        <f t="shared" si="2"/>
        <v>8.7257075779314004</v>
      </c>
      <c r="H26">
        <f t="shared" si="3"/>
        <v>374.21106971315675</v>
      </c>
      <c r="O26" s="10">
        <f t="shared" si="4"/>
        <v>116.30631954083728</v>
      </c>
      <c r="P26" s="7">
        <f t="shared" si="5"/>
        <v>32.394366197183111</v>
      </c>
      <c r="Q26">
        <f t="shared" si="6"/>
        <v>576.62611662252561</v>
      </c>
      <c r="R26" s="10">
        <f t="shared" si="7"/>
        <v>2.1630631954083728</v>
      </c>
      <c r="S26" s="12">
        <f t="shared" si="8"/>
        <v>1.323943661971831</v>
      </c>
    </row>
    <row r="27" spans="3:19" x14ac:dyDescent="0.3">
      <c r="F27">
        <f t="shared" si="1"/>
        <v>92.409059297032002</v>
      </c>
      <c r="G27">
        <f t="shared" si="2"/>
        <v>24.121741945928449</v>
      </c>
      <c r="H27">
        <f t="shared" si="3"/>
        <v>264.2750162027329</v>
      </c>
      <c r="O27" s="10">
        <f t="shared" si="4"/>
        <v>118.60587922359025</v>
      </c>
      <c r="P27">
        <f t="shared" si="5"/>
        <v>29.111531190926275</v>
      </c>
      <c r="Q27">
        <f t="shared" si="6"/>
        <v>314.29162740794374</v>
      </c>
      <c r="R27" s="12">
        <f t="shared" si="7"/>
        <v>2.1860587922359027</v>
      </c>
      <c r="S27" s="12">
        <f t="shared" si="8"/>
        <v>1.2911153119092629</v>
      </c>
    </row>
    <row r="28" spans="3:19" x14ac:dyDescent="0.3">
      <c r="F28">
        <f t="shared" si="1"/>
        <v>16.884977311718163</v>
      </c>
      <c r="G28">
        <f t="shared" si="2"/>
        <v>4.2839352428393678</v>
      </c>
      <c r="H28">
        <f t="shared" si="3"/>
        <v>53.981479974612235</v>
      </c>
      <c r="O28">
        <f t="shared" si="4"/>
        <v>0.94612141721458121</v>
      </c>
      <c r="P28">
        <f t="shared" si="5"/>
        <v>0.47322540473225727</v>
      </c>
      <c r="Q28">
        <f t="shared" si="6"/>
        <v>3.5559099711946831</v>
      </c>
      <c r="R28" s="10">
        <f t="shared" si="7"/>
        <v>1.0094612141721457</v>
      </c>
      <c r="S28" s="10">
        <f t="shared" si="8"/>
        <v>1.0047322540473225</v>
      </c>
    </row>
    <row r="29" spans="3:19" x14ac:dyDescent="0.3">
      <c r="F29">
        <f t="shared" si="1"/>
        <v>21.58044809743549</v>
      </c>
      <c r="G29">
        <f t="shared" si="2"/>
        <v>10.681280894046868</v>
      </c>
      <c r="H29">
        <f t="shared" si="3"/>
        <v>59.396459102162879</v>
      </c>
      <c r="O29">
        <f t="shared" si="4"/>
        <v>5.245107244319767</v>
      </c>
      <c r="P29">
        <f t="shared" si="5"/>
        <v>4.642166344294008</v>
      </c>
      <c r="Q29">
        <f t="shared" si="6"/>
        <v>11.661294592111613</v>
      </c>
      <c r="R29" s="10">
        <f t="shared" si="7"/>
        <v>1.0524510724431977</v>
      </c>
      <c r="S29" s="10">
        <f t="shared" si="8"/>
        <v>1.0464216634429402</v>
      </c>
    </row>
    <row r="30" spans="3:19" x14ac:dyDescent="0.3">
      <c r="F30">
        <f t="shared" si="1"/>
        <v>95.468978516599094</v>
      </c>
      <c r="G30">
        <f t="shared" si="2"/>
        <v>46.83903515686584</v>
      </c>
      <c r="H30">
        <f t="shared" si="3"/>
        <v>278.82831779745266</v>
      </c>
      <c r="O30">
        <f t="shared" si="4"/>
        <v>79.640969840917577</v>
      </c>
      <c r="P30">
        <f t="shared" si="5"/>
        <v>17.480095683530301</v>
      </c>
      <c r="Q30">
        <f t="shared" si="6"/>
        <v>280.4505210465374</v>
      </c>
      <c r="R30" s="10">
        <f t="shared" si="7"/>
        <v>1.7964096984091757</v>
      </c>
      <c r="S30" s="12">
        <f t="shared" si="8"/>
        <v>1.1748009568353031</v>
      </c>
    </row>
    <row r="31" spans="3:19" x14ac:dyDescent="0.3">
      <c r="F31">
        <f t="shared" si="1"/>
        <v>103.88387286785439</v>
      </c>
      <c r="G31">
        <f t="shared" si="2"/>
        <v>31.369820655534941</v>
      </c>
      <c r="H31">
        <f t="shared" si="3"/>
        <v>382.68805309734472</v>
      </c>
      <c r="O31">
        <f t="shared" si="4"/>
        <v>110.00567595541062</v>
      </c>
      <c r="P31">
        <f t="shared" si="5"/>
        <v>20.491273432449916</v>
      </c>
      <c r="Q31">
        <f t="shared" si="6"/>
        <v>398.24391592920352</v>
      </c>
      <c r="R31" s="10">
        <f t="shared" si="7"/>
        <v>2.1000567595541062</v>
      </c>
      <c r="S31" s="12">
        <f t="shared" si="8"/>
        <v>1.2049127343244992</v>
      </c>
    </row>
    <row r="32" spans="3:19" x14ac:dyDescent="0.3">
      <c r="F32">
        <f t="shared" si="1"/>
        <v>62.733685278840191</v>
      </c>
      <c r="G32">
        <f t="shared" si="2"/>
        <v>7.1577968858935579</v>
      </c>
      <c r="H32">
        <f t="shared" si="3"/>
        <v>360.89958158995819</v>
      </c>
      <c r="O32">
        <f t="shared" si="4"/>
        <v>115.89904436697975</v>
      </c>
      <c r="P32">
        <f t="shared" si="5"/>
        <v>21.477056747216956</v>
      </c>
      <c r="Q32">
        <f t="shared" si="6"/>
        <v>429.97907949790743</v>
      </c>
      <c r="R32" s="12">
        <f t="shared" si="7"/>
        <v>2.1589904436697975</v>
      </c>
      <c r="S32" s="12">
        <f t="shared" si="8"/>
        <v>1.2147705674721696</v>
      </c>
    </row>
    <row r="37" spans="14:14" x14ac:dyDescent="0.3">
      <c r="N37" s="7" t="s">
        <v>66</v>
      </c>
    </row>
    <row r="39" spans="14:14" x14ac:dyDescent="0.3">
      <c r="N39" t="s">
        <v>67</v>
      </c>
    </row>
    <row r="40" spans="14:14" x14ac:dyDescent="0.3">
      <c r="N40" t="s">
        <v>68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"/>
  <sheetViews>
    <sheetView workbookViewId="0">
      <selection activeCell="F2" sqref="F2"/>
    </sheetView>
  </sheetViews>
  <sheetFormatPr defaultRowHeight="14.4" x14ac:dyDescent="0.3"/>
  <cols>
    <col min="1" max="1" width="6.21875" bestFit="1" customWidth="1"/>
    <col min="2" max="2" width="10.5546875" bestFit="1" customWidth="1"/>
    <col min="3" max="3" width="36" bestFit="1" customWidth="1"/>
    <col min="4" max="4" width="37.5546875" bestFit="1" customWidth="1"/>
    <col min="5" max="5" width="39.44140625" bestFit="1" customWidth="1"/>
    <col min="6" max="6" width="41" bestFit="1" customWidth="1"/>
    <col min="7" max="7" width="36.109375" bestFit="1" customWidth="1"/>
    <col min="8" max="8" width="37.77734375" bestFit="1" customWidth="1"/>
    <col min="9" max="9" width="38.77734375" bestFit="1" customWidth="1"/>
    <col min="10" max="10" width="40.33203125" bestFit="1" customWidth="1"/>
    <col min="11" max="11" width="42.21875" bestFit="1" customWidth="1"/>
    <col min="12" max="12" width="43.77734375" bestFit="1" customWidth="1"/>
    <col min="13" max="13" width="38.88671875" bestFit="1" customWidth="1"/>
    <col min="14" max="14" width="40.44140625" bestFit="1" customWidth="1"/>
    <col min="15" max="15" width="36.33203125" bestFit="1" customWidth="1"/>
    <col min="16" max="16" width="38" bestFit="1" customWidth="1"/>
    <col min="17" max="17" width="36.44140625" bestFit="1" customWidth="1"/>
    <col min="18" max="18" width="38.109375" bestFit="1" customWidth="1"/>
    <col min="19" max="19" width="39.88671875" bestFit="1" customWidth="1"/>
    <col min="20" max="20" width="41.44140625" bestFit="1" customWidth="1"/>
    <col min="21" max="21" width="36.5546875" bestFit="1" customWidth="1"/>
    <col min="22" max="22" width="38.21875" bestFit="1" customWidth="1"/>
    <col min="23" max="23" width="36.88671875" bestFit="1" customWidth="1"/>
    <col min="24" max="24" width="38.5546875" bestFit="1" customWidth="1"/>
  </cols>
  <sheetData>
    <row r="1" spans="1:24" x14ac:dyDescent="0.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</row>
    <row r="2" spans="1:24" x14ac:dyDescent="0.3">
      <c r="A2" t="s">
        <v>2</v>
      </c>
      <c r="B2">
        <v>8</v>
      </c>
      <c r="C2">
        <v>1.7108979137471569</v>
      </c>
      <c r="D2">
        <v>1.666302114459731</v>
      </c>
      <c r="E2">
        <v>1.2005099518315681</v>
      </c>
      <c r="F2">
        <v>1.1980740459687149</v>
      </c>
      <c r="G2">
        <v>2.9147877229649661</v>
      </c>
      <c r="H2">
        <v>3.0384679114352</v>
      </c>
      <c r="I2">
        <v>1.588016523438821</v>
      </c>
      <c r="J2">
        <v>1.3847456327033461</v>
      </c>
      <c r="K2">
        <v>1.106935161243368</v>
      </c>
      <c r="L2">
        <v>1.1078958962805869</v>
      </c>
      <c r="M2">
        <v>2.8737664350341872</v>
      </c>
      <c r="N2">
        <v>1.7715819796694481</v>
      </c>
      <c r="O2">
        <v>0.75289145220197629</v>
      </c>
      <c r="P2">
        <v>0.77858795592708363</v>
      </c>
      <c r="Q2">
        <v>1.6706546135931879</v>
      </c>
      <c r="R2">
        <v>2.0169328948109619</v>
      </c>
      <c r="S2">
        <v>1.912883789484243</v>
      </c>
      <c r="T2">
        <v>1.905072896631208</v>
      </c>
      <c r="U2">
        <v>1.663809863788448</v>
      </c>
      <c r="V2">
        <v>1.8307793441424469</v>
      </c>
      <c r="W2">
        <v>1.0813744211856171</v>
      </c>
      <c r="X2">
        <v>1.0175901321702221</v>
      </c>
    </row>
    <row r="3" spans="1:24" x14ac:dyDescent="0.3">
      <c r="A3" t="s">
        <v>11</v>
      </c>
      <c r="B3">
        <v>5</v>
      </c>
      <c r="C3">
        <v>1.601103924144895</v>
      </c>
      <c r="D3">
        <v>1.627336852788402</v>
      </c>
      <c r="E3">
        <v>1.2006637376703611</v>
      </c>
      <c r="F3">
        <v>1.106812808940469</v>
      </c>
      <c r="G3">
        <v>3.2715877831230609</v>
      </c>
      <c r="H3">
        <v>3.788283177974527</v>
      </c>
      <c r="I3">
        <v>1.541873019993657</v>
      </c>
      <c r="J3">
        <v>1.750986355389659</v>
      </c>
      <c r="K3">
        <v>1.091127475482081</v>
      </c>
      <c r="L3">
        <v>1.04642166344294</v>
      </c>
      <c r="M3">
        <v>3.2477814420739088</v>
      </c>
      <c r="N3">
        <v>3.8045052104653738</v>
      </c>
      <c r="O3">
        <v>0.88785391304986516</v>
      </c>
      <c r="P3">
        <v>0.80901031949319591</v>
      </c>
      <c r="Q3">
        <v>1.426206226330708</v>
      </c>
      <c r="R3">
        <v>1.4379155021104399</v>
      </c>
      <c r="S3">
        <v>1.686366292976569</v>
      </c>
      <c r="T3">
        <v>1.6184593870178301</v>
      </c>
      <c r="U3">
        <v>1.1423529486830271</v>
      </c>
      <c r="V3">
        <v>0.92840520275816285</v>
      </c>
      <c r="W3">
        <v>0.98556842894849017</v>
      </c>
      <c r="X3">
        <v>0.99899255093247596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ratios-use</vt:lpstr>
      <vt:lpstr>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Amjad Ibrahim (A)</cp:lastModifiedBy>
  <dcterms:created xsi:type="dcterms:W3CDTF">2026-04-02T11:46:30Z</dcterms:created>
  <dcterms:modified xsi:type="dcterms:W3CDTF">2026-04-28T15:48:20Z</dcterms:modified>
</cp:coreProperties>
</file>